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user\Downloads\MODUL 6-20241008T092155Z-001\MODUL 6\"/>
    </mc:Choice>
  </mc:AlternateContent>
  <xr:revisionPtr revIDLastSave="0" documentId="13_ncr:1_{2A9AA2B0-6CC4-44D2-8582-F3683051088A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Calcul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XgQNh9eXFKWQLuiSZm6C5bTCdxRdSid2OWOn+yF0X7g="/>
    </ext>
  </extLst>
</workbook>
</file>

<file path=xl/calcChain.xml><?xml version="1.0" encoding="utf-8"?>
<calcChain xmlns="http://schemas.openxmlformats.org/spreadsheetml/2006/main">
  <c r="J11" i="1" l="1"/>
  <c r="K11" i="1" s="1"/>
  <c r="J6" i="1"/>
  <c r="M13" i="1"/>
  <c r="N13" i="1"/>
  <c r="M12" i="1"/>
  <c r="N12" i="1"/>
  <c r="M10" i="1"/>
  <c r="N9" i="1"/>
  <c r="N10" i="1"/>
  <c r="M9" i="1"/>
  <c r="M8" i="1"/>
  <c r="N8" i="1"/>
  <c r="J9" i="1"/>
  <c r="L9" i="1" s="1"/>
  <c r="J8" i="1"/>
  <c r="K8" i="1" s="1"/>
  <c r="L13" i="1"/>
  <c r="L12" i="1"/>
  <c r="L7" i="1"/>
  <c r="L10" i="1"/>
  <c r="L6" i="1"/>
  <c r="K7" i="1"/>
  <c r="K10" i="1"/>
  <c r="K12" i="1"/>
  <c r="K13" i="1"/>
  <c r="K6" i="1"/>
  <c r="J7" i="1"/>
  <c r="J10" i="1"/>
  <c r="J12" i="1"/>
  <c r="J13" i="1"/>
  <c r="C13" i="1"/>
  <c r="C12" i="1"/>
  <c r="C9" i="1"/>
  <c r="C8" i="1"/>
  <c r="C11" i="1"/>
  <c r="C10" i="1"/>
  <c r="K9" i="1" l="1"/>
  <c r="L8" i="1"/>
</calcChain>
</file>

<file path=xl/sharedStrings.xml><?xml version="1.0" encoding="utf-8"?>
<sst xmlns="http://schemas.openxmlformats.org/spreadsheetml/2006/main" count="45" uniqueCount="32">
  <si>
    <t>Relay</t>
  </si>
  <si>
    <t>Setting</t>
  </si>
  <si>
    <t>Fault Location</t>
  </si>
  <si>
    <t>Full Load Current (FLC)</t>
  </si>
  <si>
    <t>Max Fault Current</t>
  </si>
  <si>
    <t>CT ratio</t>
  </si>
  <si>
    <t>Fuse Rating</t>
  </si>
  <si>
    <t>Characteristics</t>
  </si>
  <si>
    <t>Rasio Toleransi</t>
  </si>
  <si>
    <t>Pick Up</t>
  </si>
  <si>
    <t>PSM</t>
  </si>
  <si>
    <t>TMS</t>
  </si>
  <si>
    <t>t_ops</t>
  </si>
  <si>
    <t>A</t>
  </si>
  <si>
    <t>Primary</t>
  </si>
  <si>
    <t>Secondary</t>
  </si>
  <si>
    <t>% Pickup</t>
  </si>
  <si>
    <t>Fuse FS1</t>
  </si>
  <si>
    <t>Bus C</t>
  </si>
  <si>
    <t>Fuse FS2</t>
  </si>
  <si>
    <t>Relay F1</t>
  </si>
  <si>
    <t>EI</t>
  </si>
  <si>
    <t>Relay F2</t>
  </si>
  <si>
    <t>Relay R1</t>
  </si>
  <si>
    <t>Relay R2</t>
  </si>
  <si>
    <t>Relay R3</t>
  </si>
  <si>
    <t>Bus B</t>
  </si>
  <si>
    <t>Instantaneous</t>
  </si>
  <si>
    <t>Relay R4</t>
  </si>
  <si>
    <t>Bus A</t>
  </si>
  <si>
    <t>SI</t>
  </si>
  <si>
    <t>Relay R5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</si>
</sst>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11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rgb="FF000000"/>
      <name val="Arial"/>
    </font>
    <font>
      <sz val="10"/>
      <name val="Arial"/>
    </font>
    <font>
      <sz val="8"/>
      <color rgb="FF000000"/>
      <name val="Arial"/>
    </font>
    <font>
      <b/>
      <sz val="10"/>
      <color rgb="FF000000"/>
      <name val="Arial"/>
    </font>
    <font>
      <sz val="8"/>
      <color theme="1"/>
      <name val="Arial"/>
    </font>
    <font>
      <sz val="10"/>
      <color theme="1"/>
      <name val="Arial"/>
    </font>
    <font>
      <sz val="10"/>
      <color theme="1"/>
      <name val="Arial"/>
    </font>
    <font>
      <b/>
      <sz val="10"/>
      <color rgb="FFFF0000"/>
      <name val="Arial"/>
    </font>
    <font>
      <sz val="10"/>
      <color rgb="FFFF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4" fillId="0" borderId="0" xfId="0" applyFont="1"/>
    <xf numFmtId="0" fontId="2" fillId="0" borderId="0" xfId="0" applyFont="1"/>
    <xf numFmtId="0" fontId="1" fillId="2" borderId="7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  <xf numFmtId="0" fontId="6" fillId="0" borderId="0" xfId="0" applyFont="1"/>
    <xf numFmtId="164" fontId="1" fillId="2" borderId="7" xfId="0" applyNumberFormat="1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8" fillId="3" borderId="7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7" fillId="4" borderId="10" xfId="0" applyFont="1" applyFill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4" borderId="7" xfId="0" applyFont="1" applyFill="1" applyBorder="1" applyAlignment="1">
      <alignment horizontal="center"/>
    </xf>
    <xf numFmtId="164" fontId="7" fillId="4" borderId="7" xfId="0" applyNumberFormat="1" applyFont="1" applyFill="1" applyBorder="1" applyAlignment="1">
      <alignment horizontal="center"/>
    </xf>
    <xf numFmtId="4" fontId="7" fillId="4" borderId="7" xfId="0" applyNumberFormat="1" applyFont="1" applyFill="1" applyBorder="1" applyAlignment="1">
      <alignment horizontal="center"/>
    </xf>
    <xf numFmtId="4" fontId="2" fillId="4" borderId="7" xfId="0" applyNumberFormat="1" applyFont="1" applyFill="1" applyBorder="1" applyAlignment="1">
      <alignment horizontal="center"/>
    </xf>
    <xf numFmtId="0" fontId="8" fillId="3" borderId="9" xfId="0" applyFont="1" applyFill="1" applyBorder="1" applyAlignment="1">
      <alignment horizontal="center"/>
    </xf>
    <xf numFmtId="0" fontId="8" fillId="3" borderId="1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64" fontId="7" fillId="0" borderId="7" xfId="0" applyNumberFormat="1" applyFont="1" applyBorder="1" applyAlignment="1">
      <alignment horizontal="center"/>
    </xf>
    <xf numFmtId="164" fontId="7" fillId="3" borderId="7" xfId="0" applyNumberFormat="1" applyFont="1" applyFill="1" applyBorder="1" applyAlignment="1">
      <alignment horizontal="center"/>
    </xf>
    <xf numFmtId="2" fontId="7" fillId="3" borderId="7" xfId="0" applyNumberFormat="1" applyFont="1" applyFill="1" applyBorder="1" applyAlignment="1">
      <alignment horizontal="center"/>
    </xf>
    <xf numFmtId="4" fontId="7" fillId="5" borderId="7" xfId="0" applyNumberFormat="1" applyFont="1" applyFill="1" applyBorder="1" applyAlignment="1">
      <alignment horizontal="center"/>
    </xf>
    <xf numFmtId="4" fontId="7" fillId="3" borderId="7" xfId="0" applyNumberFormat="1" applyFont="1" applyFill="1" applyBorder="1" applyAlignment="1">
      <alignment horizontal="center"/>
    </xf>
    <xf numFmtId="0" fontId="7" fillId="0" borderId="0" xfId="0" applyFont="1"/>
    <xf numFmtId="2" fontId="7" fillId="0" borderId="7" xfId="0" applyNumberFormat="1" applyFont="1" applyBorder="1" applyAlignment="1">
      <alignment horizontal="center"/>
    </xf>
    <xf numFmtId="4" fontId="2" fillId="3" borderId="7" xfId="0" applyNumberFormat="1" applyFont="1" applyFill="1" applyBorder="1" applyAlignment="1">
      <alignment horizontal="center"/>
    </xf>
    <xf numFmtId="1" fontId="8" fillId="3" borderId="11" xfId="0" applyNumberFormat="1" applyFont="1" applyFill="1" applyBorder="1" applyAlignment="1">
      <alignment horizontal="center"/>
    </xf>
    <xf numFmtId="165" fontId="9" fillId="0" borderId="0" xfId="0" applyNumberFormat="1" applyFont="1"/>
    <xf numFmtId="165" fontId="10" fillId="0" borderId="0" xfId="0" applyNumberFormat="1" applyFont="1"/>
    <xf numFmtId="164" fontId="7" fillId="0" borderId="0" xfId="0" applyNumberFormat="1" applyFont="1"/>
    <xf numFmtId="4" fontId="7" fillId="0" borderId="0" xfId="0" applyNumberFormat="1" applyFont="1"/>
    <xf numFmtId="4" fontId="2" fillId="0" borderId="0" xfId="0" applyNumberFormat="1" applyFont="1" applyAlignment="1">
      <alignment horizontal="center"/>
    </xf>
    <xf numFmtId="4" fontId="7" fillId="0" borderId="0" xfId="0" applyNumberFormat="1" applyFont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3" fillId="0" borderId="9" xfId="0" applyFont="1" applyBorder="1"/>
    <xf numFmtId="0" fontId="7" fillId="0" borderId="6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0" borderId="5" xfId="0" applyFont="1" applyBorder="1"/>
    <xf numFmtId="0" fontId="3" fillId="0" borderId="8" xfId="0" applyFont="1" applyBorder="1"/>
    <xf numFmtId="0" fontId="2" fillId="2" borderId="2" xfId="0" applyFont="1" applyFill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1" fillId="2" borderId="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164" fontId="1" fillId="2" borderId="6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/>
    </xf>
    <xf numFmtId="4" fontId="1" fillId="2" borderId="6" xfId="0" applyNumberFormat="1" applyFont="1" applyFill="1" applyBorder="1" applyAlignment="1">
      <alignment horizontal="center" vertical="center"/>
    </xf>
    <xf numFmtId="4" fontId="5" fillId="2" borderId="6" xfId="0" applyNumberFormat="1" applyFont="1" applyFill="1" applyBorder="1" applyAlignment="1">
      <alignment horizontal="center" vertical="center"/>
    </xf>
    <xf numFmtId="0" fontId="4" fillId="0" borderId="12" xfId="0" applyFont="1" applyBorder="1" applyAlignment="1">
      <alignment horizontal="left" vertical="top" wrapText="1"/>
    </xf>
    <xf numFmtId="0" fontId="3" fillId="0" borderId="1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0"/>
  <sheetViews>
    <sheetView tabSelected="1" zoomScale="90" zoomScaleNormal="90" workbookViewId="0">
      <pane xSplit="1" ySplit="3" topLeftCell="G4" activePane="bottomRight" state="frozen"/>
      <selection pane="topRight" activeCell="B1" sqref="B1"/>
      <selection pane="bottomLeft" activeCell="A4" sqref="A4"/>
      <selection pane="bottomRight" activeCell="K11" sqref="K11"/>
    </sheetView>
  </sheetViews>
  <sheetFormatPr defaultColWidth="12.6640625" defaultRowHeight="15" customHeight="1" x14ac:dyDescent="0.25"/>
  <cols>
    <col min="1" max="2" width="10.109375" customWidth="1"/>
    <col min="3" max="3" width="16.44140625" customWidth="1"/>
    <col min="4" max="4" width="16.88671875" customWidth="1"/>
    <col min="5" max="5" width="8.109375" customWidth="1"/>
    <col min="6" max="6" width="10.44140625" customWidth="1"/>
    <col min="7" max="7" width="6.6640625" customWidth="1"/>
    <col min="8" max="8" width="14.33203125" customWidth="1"/>
    <col min="9" max="9" width="12.109375" customWidth="1"/>
    <col min="10" max="10" width="9.6640625" customWidth="1"/>
    <col min="11" max="11" width="10.44140625" customWidth="1"/>
    <col min="12" max="12" width="6.6640625" customWidth="1"/>
    <col min="13" max="13" width="7.109375" customWidth="1"/>
    <col min="14" max="14" width="6.6640625" customWidth="1"/>
    <col min="15" max="15" width="52.109375" customWidth="1"/>
    <col min="16" max="16" width="6" customWidth="1"/>
    <col min="17" max="17" width="8.44140625" customWidth="1"/>
    <col min="18" max="27" width="12.6640625" customWidth="1"/>
  </cols>
  <sheetData>
    <row r="1" spans="1:27" ht="12" customHeight="1" x14ac:dyDescent="0.25">
      <c r="A1" s="39" t="s">
        <v>0</v>
      </c>
      <c r="B1" s="42" t="s">
        <v>1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4"/>
      <c r="O1" s="1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2" customHeight="1" x14ac:dyDescent="0.25">
      <c r="A2" s="40"/>
      <c r="B2" s="45" t="s">
        <v>2</v>
      </c>
      <c r="C2" s="3" t="s">
        <v>3</v>
      </c>
      <c r="D2" s="4" t="s">
        <v>4</v>
      </c>
      <c r="E2" s="46" t="s">
        <v>5</v>
      </c>
      <c r="F2" s="44"/>
      <c r="G2" s="45" t="s">
        <v>6</v>
      </c>
      <c r="H2" s="47" t="s">
        <v>7</v>
      </c>
      <c r="I2" s="48" t="s">
        <v>8</v>
      </c>
      <c r="J2" s="49" t="s">
        <v>9</v>
      </c>
      <c r="K2" s="44"/>
      <c r="L2" s="47" t="s">
        <v>10</v>
      </c>
      <c r="M2" s="50" t="s">
        <v>11</v>
      </c>
      <c r="N2" s="51" t="s">
        <v>12</v>
      </c>
      <c r="O2" s="5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5.75" customHeight="1" x14ac:dyDescent="0.25">
      <c r="A3" s="41"/>
      <c r="B3" s="37"/>
      <c r="C3" s="4" t="s">
        <v>13</v>
      </c>
      <c r="D3" s="4" t="s">
        <v>13</v>
      </c>
      <c r="E3" s="4" t="s">
        <v>14</v>
      </c>
      <c r="F3" s="4" t="s">
        <v>15</v>
      </c>
      <c r="G3" s="37"/>
      <c r="H3" s="37"/>
      <c r="I3" s="37"/>
      <c r="J3" s="6" t="s">
        <v>14</v>
      </c>
      <c r="K3" s="6" t="s">
        <v>16</v>
      </c>
      <c r="L3" s="37"/>
      <c r="M3" s="37"/>
      <c r="N3" s="37"/>
      <c r="O3" s="1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5.75" customHeight="1" x14ac:dyDescent="0.25">
      <c r="A4" s="7" t="s">
        <v>17</v>
      </c>
      <c r="B4" s="8" t="s">
        <v>18</v>
      </c>
      <c r="C4" s="9">
        <v>90</v>
      </c>
      <c r="D4" s="10">
        <v>5590</v>
      </c>
      <c r="E4" s="11"/>
      <c r="F4" s="11"/>
      <c r="G4" s="12">
        <v>125</v>
      </c>
      <c r="H4" s="13"/>
      <c r="I4" s="14"/>
      <c r="J4" s="14"/>
      <c r="K4" s="14"/>
      <c r="L4" s="14"/>
      <c r="M4" s="15"/>
      <c r="N4" s="16"/>
      <c r="O4" s="1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5.75" customHeight="1" x14ac:dyDescent="0.25">
      <c r="A5" s="7" t="s">
        <v>19</v>
      </c>
      <c r="B5" s="8" t="s">
        <v>18</v>
      </c>
      <c r="C5" s="17">
        <v>130</v>
      </c>
      <c r="D5" s="10">
        <v>5590</v>
      </c>
      <c r="E5" s="13"/>
      <c r="F5" s="13"/>
      <c r="G5" s="8">
        <v>160</v>
      </c>
      <c r="H5" s="13"/>
      <c r="I5" s="14"/>
      <c r="J5" s="14"/>
      <c r="K5" s="14"/>
      <c r="L5" s="14"/>
      <c r="M5" s="15"/>
      <c r="N5" s="16"/>
      <c r="O5" s="1"/>
      <c r="P5" s="19"/>
      <c r="Q5" s="20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5.75" customHeight="1" x14ac:dyDescent="0.25">
      <c r="A6" s="7" t="s">
        <v>20</v>
      </c>
      <c r="B6" s="8" t="s">
        <v>18</v>
      </c>
      <c r="C6" s="17">
        <v>190</v>
      </c>
      <c r="D6" s="10">
        <v>5590</v>
      </c>
      <c r="E6" s="8">
        <v>200</v>
      </c>
      <c r="F6" s="8">
        <v>5</v>
      </c>
      <c r="G6" s="13"/>
      <c r="H6" s="8" t="s">
        <v>21</v>
      </c>
      <c r="I6" s="21">
        <v>1</v>
      </c>
      <c r="J6" s="23">
        <f>I6*C6</f>
        <v>190</v>
      </c>
      <c r="K6" s="23">
        <f>J6/E6</f>
        <v>0.95</v>
      </c>
      <c r="L6" s="22">
        <f>D6/J6</f>
        <v>29.421052631578949</v>
      </c>
      <c r="M6" s="24">
        <v>0.1</v>
      </c>
      <c r="N6" s="25">
        <v>0.02</v>
      </c>
      <c r="O6" s="5"/>
      <c r="P6" s="26"/>
      <c r="Q6" s="26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2" customHeight="1" x14ac:dyDescent="0.25">
      <c r="A7" s="7" t="s">
        <v>22</v>
      </c>
      <c r="B7" s="8" t="s">
        <v>18</v>
      </c>
      <c r="C7" s="17">
        <v>130</v>
      </c>
      <c r="D7" s="10">
        <v>5590</v>
      </c>
      <c r="E7" s="8">
        <v>150</v>
      </c>
      <c r="F7" s="8">
        <v>5</v>
      </c>
      <c r="G7" s="13"/>
      <c r="H7" s="8" t="s">
        <v>21</v>
      </c>
      <c r="I7" s="27">
        <v>1.1538461538461537</v>
      </c>
      <c r="J7" s="23">
        <f t="shared" ref="J7:J13" si="0">I7*C7</f>
        <v>150</v>
      </c>
      <c r="K7" s="23">
        <f t="shared" ref="K7:K13" si="1">J7/E7</f>
        <v>1</v>
      </c>
      <c r="L7" s="22">
        <f t="shared" ref="L7:L10" si="2">D7/J7</f>
        <v>37.266666666666666</v>
      </c>
      <c r="M7" s="24">
        <v>0.25</v>
      </c>
      <c r="N7" s="25">
        <v>0.05</v>
      </c>
      <c r="O7" s="1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2" customHeight="1" x14ac:dyDescent="0.25">
      <c r="A8" s="7" t="s">
        <v>23</v>
      </c>
      <c r="B8" s="8" t="s">
        <v>18</v>
      </c>
      <c r="C8" s="17">
        <f>130+190+90</f>
        <v>410</v>
      </c>
      <c r="D8" s="10">
        <v>5590</v>
      </c>
      <c r="E8" s="8">
        <v>500</v>
      </c>
      <c r="F8" s="8">
        <v>1</v>
      </c>
      <c r="G8" s="13"/>
      <c r="H8" s="8" t="s">
        <v>21</v>
      </c>
      <c r="I8" s="21">
        <v>0.96</v>
      </c>
      <c r="J8" s="23">
        <f>160*3</f>
        <v>480</v>
      </c>
      <c r="K8" s="23">
        <f t="shared" si="1"/>
        <v>0.96</v>
      </c>
      <c r="L8" s="22">
        <f t="shared" si="2"/>
        <v>11.645833333333334</v>
      </c>
      <c r="M8" s="25">
        <f>N8*((L8^2)-1)/80</f>
        <v>0.5889862738715278</v>
      </c>
      <c r="N8" s="25">
        <f>N7+0.3</f>
        <v>0.35</v>
      </c>
      <c r="O8" s="1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2" customHeight="1" x14ac:dyDescent="0.25">
      <c r="A9" s="7" t="s">
        <v>24</v>
      </c>
      <c r="B9" s="8" t="s">
        <v>18</v>
      </c>
      <c r="C9" s="17">
        <f>130+190+90</f>
        <v>410</v>
      </c>
      <c r="D9" s="10">
        <v>5590</v>
      </c>
      <c r="E9" s="8">
        <v>500</v>
      </c>
      <c r="F9" s="8">
        <v>1</v>
      </c>
      <c r="G9" s="13"/>
      <c r="H9" s="8" t="s">
        <v>21</v>
      </c>
      <c r="I9" s="21">
        <v>0.96</v>
      </c>
      <c r="J9" s="23">
        <f>160*3</f>
        <v>480</v>
      </c>
      <c r="K9" s="23">
        <f t="shared" si="1"/>
        <v>0.96</v>
      </c>
      <c r="L9" s="22">
        <f t="shared" si="2"/>
        <v>11.645833333333334</v>
      </c>
      <c r="M9" s="25">
        <f>N9*((L9^2)-1)/80</f>
        <v>0.5889862738715278</v>
      </c>
      <c r="N9" s="25">
        <f>N7+0.3</f>
        <v>0.35</v>
      </c>
      <c r="O9" s="5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</row>
    <row r="10" spans="1:27" ht="12" customHeight="1" x14ac:dyDescent="0.25">
      <c r="A10" s="36" t="s">
        <v>25</v>
      </c>
      <c r="B10" s="38" t="s">
        <v>26</v>
      </c>
      <c r="C10" s="17">
        <f>300+300+130+190+90</f>
        <v>1010</v>
      </c>
      <c r="D10" s="18">
        <v>6004</v>
      </c>
      <c r="E10" s="8">
        <v>1000</v>
      </c>
      <c r="F10" s="8">
        <v>1</v>
      </c>
      <c r="G10" s="13"/>
      <c r="H10" s="8" t="s">
        <v>21</v>
      </c>
      <c r="I10" s="21">
        <v>1.06</v>
      </c>
      <c r="J10" s="23">
        <f t="shared" si="0"/>
        <v>1070.6000000000001</v>
      </c>
      <c r="K10" s="23">
        <f t="shared" si="1"/>
        <v>1.0706000000000002</v>
      </c>
      <c r="L10" s="22">
        <f t="shared" si="2"/>
        <v>5.6080702409863621</v>
      </c>
      <c r="M10" s="25">
        <f>N10*((L10^2)-1)/80</f>
        <v>0.24740992110117421</v>
      </c>
      <c r="N10" s="28">
        <f>N9+0.3</f>
        <v>0.64999999999999991</v>
      </c>
      <c r="O10" s="1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2" customHeight="1" x14ac:dyDescent="0.25">
      <c r="A11" s="37"/>
      <c r="B11" s="37"/>
      <c r="C11" s="17">
        <f>300+300+130+190+90</f>
        <v>1010</v>
      </c>
      <c r="D11" s="18">
        <v>6004</v>
      </c>
      <c r="E11" s="8">
        <v>1000</v>
      </c>
      <c r="F11" s="8">
        <v>1</v>
      </c>
      <c r="G11" s="13"/>
      <c r="H11" s="8" t="s">
        <v>27</v>
      </c>
      <c r="I11" s="21">
        <v>1.3</v>
      </c>
      <c r="J11" s="23">
        <f>I11*D11</f>
        <v>7805.2</v>
      </c>
      <c r="K11" s="23">
        <f t="shared" si="1"/>
        <v>7.8052000000000001</v>
      </c>
      <c r="L11" s="14"/>
      <c r="M11" s="15"/>
      <c r="N11" s="16"/>
      <c r="O11" s="1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2" customHeight="1" x14ac:dyDescent="0.25">
      <c r="A12" s="7" t="s">
        <v>28</v>
      </c>
      <c r="B12" s="8" t="s">
        <v>29</v>
      </c>
      <c r="C12" s="17">
        <f>900+900+300+300+130+190+90</f>
        <v>2810</v>
      </c>
      <c r="D12" s="29">
        <v>7805.2</v>
      </c>
      <c r="E12" s="8">
        <v>3000</v>
      </c>
      <c r="F12" s="8">
        <v>1</v>
      </c>
      <c r="G12" s="13"/>
      <c r="H12" s="8" t="s">
        <v>30</v>
      </c>
      <c r="I12" s="21">
        <v>1.0714300000000001</v>
      </c>
      <c r="J12" s="23">
        <f t="shared" si="0"/>
        <v>3010.7183000000005</v>
      </c>
      <c r="K12" s="23">
        <f t="shared" si="1"/>
        <v>1.0035727666666667</v>
      </c>
      <c r="L12" s="22">
        <f>D12/J12</f>
        <v>2.5924710392201087</v>
      </c>
      <c r="M12" s="25">
        <f>N12*((L12^0.02)-1)/0.14</f>
        <v>0.13052241128290501</v>
      </c>
      <c r="N12" s="28">
        <f>N10+0.3</f>
        <v>0.95</v>
      </c>
      <c r="O12" s="1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2.75" customHeight="1" x14ac:dyDescent="0.25">
      <c r="A13" s="7" t="s">
        <v>31</v>
      </c>
      <c r="B13" s="8" t="s">
        <v>29</v>
      </c>
      <c r="C13" s="17">
        <f>900+900+300+300+130+190+90</f>
        <v>2810</v>
      </c>
      <c r="D13" s="29">
        <v>22700</v>
      </c>
      <c r="E13" s="8">
        <v>3000</v>
      </c>
      <c r="F13" s="8">
        <v>5</v>
      </c>
      <c r="G13" s="13"/>
      <c r="H13" s="8" t="s">
        <v>30</v>
      </c>
      <c r="I13" s="21">
        <v>1.1000000000000001</v>
      </c>
      <c r="J13" s="23">
        <f t="shared" si="0"/>
        <v>3091.0000000000005</v>
      </c>
      <c r="K13" s="23">
        <f t="shared" si="1"/>
        <v>1.0303333333333335</v>
      </c>
      <c r="L13" s="22">
        <f>D13/J13</f>
        <v>7.3439016499514711</v>
      </c>
      <c r="M13" s="25">
        <f>N13*((L13^0.02)-1)/0.14</f>
        <v>0.36324271475561948</v>
      </c>
      <c r="N13" s="28">
        <f>N12+0.3</f>
        <v>1.25</v>
      </c>
      <c r="O13" s="5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</row>
    <row r="14" spans="1:27" ht="12.75" customHeight="1" x14ac:dyDescent="0.25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1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2.75" customHeight="1" x14ac:dyDescent="0.25">
      <c r="A15" s="30"/>
      <c r="B15" s="30"/>
      <c r="C15" s="30"/>
      <c r="D15" s="30"/>
      <c r="E15" s="30"/>
      <c r="F15" s="30"/>
      <c r="G15" s="30"/>
      <c r="H15" s="30"/>
      <c r="I15" s="30"/>
      <c r="J15" s="31"/>
      <c r="K15" s="30"/>
      <c r="L15" s="30"/>
      <c r="M15" s="30"/>
      <c r="N15" s="30"/>
      <c r="O15" s="1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2.75" customHeight="1" x14ac:dyDescent="0.25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1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2" customHeight="1" x14ac:dyDescent="0.25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1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2" customHeight="1" x14ac:dyDescent="0.25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1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2" customHeight="1" x14ac:dyDescent="0.25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1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2" customHeight="1" x14ac:dyDescent="0.25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1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2.75" customHeight="1" x14ac:dyDescent="0.25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1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2" customHeight="1" x14ac:dyDescent="0.25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5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2" customHeight="1" x14ac:dyDescent="0.25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53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2" customHeight="1" x14ac:dyDescent="0.25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1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2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1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2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1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2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1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2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32"/>
      <c r="K28" s="32"/>
      <c r="L28" s="2"/>
      <c r="M28" s="33"/>
      <c r="N28" s="34"/>
      <c r="O28" s="1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2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32"/>
      <c r="K29" s="32"/>
      <c r="L29" s="2"/>
      <c r="M29" s="33"/>
      <c r="N29" s="34"/>
      <c r="O29" s="1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2" customHeight="1" x14ac:dyDescent="0.25">
      <c r="A30" s="2"/>
      <c r="B30" s="2"/>
      <c r="C30" s="20"/>
      <c r="D30" s="26"/>
      <c r="E30" s="26"/>
      <c r="F30" s="26"/>
      <c r="G30" s="2"/>
      <c r="H30" s="2"/>
      <c r="I30" s="2"/>
      <c r="J30" s="32"/>
      <c r="K30" s="32"/>
      <c r="L30" s="2"/>
      <c r="M30" s="33"/>
      <c r="N30" s="34"/>
      <c r="O30" s="1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2" customHeight="1" x14ac:dyDescent="0.25">
      <c r="A31" s="2"/>
      <c r="B31" s="2"/>
      <c r="C31" s="26"/>
      <c r="D31" s="35"/>
      <c r="E31" s="2"/>
      <c r="F31" s="2"/>
      <c r="G31" s="2"/>
      <c r="H31" s="2"/>
      <c r="I31" s="2"/>
      <c r="J31" s="32"/>
      <c r="K31" s="32"/>
      <c r="L31" s="2"/>
      <c r="M31" s="33"/>
      <c r="N31" s="34"/>
      <c r="O31" s="1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2" customHeight="1" x14ac:dyDescent="0.25">
      <c r="A32" s="2"/>
      <c r="B32" s="2"/>
      <c r="C32" s="26"/>
      <c r="D32" s="35"/>
      <c r="E32" s="35"/>
      <c r="F32" s="2"/>
      <c r="G32" s="2"/>
      <c r="H32" s="2"/>
      <c r="I32" s="2"/>
      <c r="J32" s="32"/>
      <c r="K32" s="32"/>
      <c r="L32" s="2"/>
      <c r="M32" s="33"/>
      <c r="N32" s="34"/>
      <c r="O32" s="1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2" customHeight="1" x14ac:dyDescent="0.25">
      <c r="A33" s="2"/>
      <c r="B33" s="2"/>
      <c r="C33" s="26"/>
      <c r="D33" s="35"/>
      <c r="E33" s="35"/>
      <c r="F33" s="2"/>
      <c r="G33" s="2"/>
      <c r="H33" s="2"/>
      <c r="I33" s="2"/>
      <c r="J33" s="32"/>
      <c r="K33" s="32"/>
      <c r="L33" s="2"/>
      <c r="M33" s="33"/>
      <c r="N33" s="34"/>
      <c r="O33" s="1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2" customHeight="1" x14ac:dyDescent="0.25">
      <c r="A34" s="2"/>
      <c r="B34" s="2"/>
      <c r="C34" s="26"/>
      <c r="D34" s="35"/>
      <c r="E34" s="35"/>
      <c r="F34" s="2"/>
      <c r="G34" s="2"/>
      <c r="H34" s="2"/>
      <c r="I34" s="2"/>
      <c r="J34" s="32"/>
      <c r="K34" s="32"/>
      <c r="L34" s="2"/>
      <c r="M34" s="33"/>
      <c r="N34" s="34"/>
      <c r="O34" s="1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2" customHeight="1" x14ac:dyDescent="0.25">
      <c r="A35" s="2"/>
      <c r="B35" s="2"/>
      <c r="C35" s="26"/>
      <c r="D35" s="35"/>
      <c r="E35" s="35"/>
      <c r="F35" s="2"/>
      <c r="G35" s="2"/>
      <c r="H35" s="2"/>
      <c r="I35" s="2"/>
      <c r="J35" s="32"/>
      <c r="K35" s="32"/>
      <c r="L35" s="2"/>
      <c r="M35" s="33"/>
      <c r="N35" s="34"/>
      <c r="O35" s="1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2" customHeight="1" x14ac:dyDescent="0.25">
      <c r="A36" s="2"/>
      <c r="B36" s="2"/>
      <c r="C36" s="26"/>
      <c r="D36" s="35"/>
      <c r="E36" s="35"/>
      <c r="F36" s="2"/>
      <c r="G36" s="2"/>
      <c r="H36" s="2"/>
      <c r="I36" s="2"/>
      <c r="J36" s="32"/>
      <c r="K36" s="32"/>
      <c r="L36" s="2"/>
      <c r="M36" s="33"/>
      <c r="N36" s="34"/>
      <c r="O36" s="1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2" customHeight="1" x14ac:dyDescent="0.25">
      <c r="A37" s="2"/>
      <c r="B37" s="2"/>
      <c r="C37" s="26"/>
      <c r="D37" s="35"/>
      <c r="E37" s="35"/>
      <c r="F37" s="2"/>
      <c r="G37" s="2"/>
      <c r="H37" s="2"/>
      <c r="I37" s="2"/>
      <c r="J37" s="32"/>
      <c r="K37" s="32"/>
      <c r="L37" s="2"/>
      <c r="M37" s="33"/>
      <c r="N37" s="34"/>
      <c r="O37" s="1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2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32"/>
      <c r="K38" s="32"/>
      <c r="L38" s="2"/>
      <c r="M38" s="33"/>
      <c r="N38" s="34"/>
      <c r="O38" s="1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2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32"/>
      <c r="K39" s="32"/>
      <c r="L39" s="2"/>
      <c r="M39" s="33"/>
      <c r="N39" s="34"/>
      <c r="O39" s="1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2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32"/>
      <c r="K40" s="32"/>
      <c r="L40" s="2"/>
      <c r="M40" s="33"/>
      <c r="N40" s="34"/>
      <c r="O40" s="1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2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32"/>
      <c r="K41" s="32"/>
      <c r="L41" s="2"/>
      <c r="M41" s="33"/>
      <c r="N41" s="34"/>
      <c r="O41" s="1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2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32"/>
      <c r="K42" s="32"/>
      <c r="L42" s="2"/>
      <c r="M42" s="33"/>
      <c r="N42" s="34"/>
      <c r="O42" s="1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2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32"/>
      <c r="K43" s="32"/>
      <c r="L43" s="2"/>
      <c r="M43" s="33"/>
      <c r="N43" s="34"/>
      <c r="O43" s="1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2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32"/>
      <c r="K44" s="32"/>
      <c r="L44" s="2"/>
      <c r="M44" s="33"/>
      <c r="N44" s="34"/>
      <c r="O44" s="1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2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32"/>
      <c r="K45" s="32"/>
      <c r="L45" s="2"/>
      <c r="M45" s="33"/>
      <c r="N45" s="34"/>
      <c r="O45" s="1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2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32"/>
      <c r="K46" s="32"/>
      <c r="L46" s="2"/>
      <c r="M46" s="33"/>
      <c r="N46" s="34"/>
      <c r="O46" s="1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2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32"/>
      <c r="K47" s="32"/>
      <c r="L47" s="2"/>
      <c r="M47" s="33"/>
      <c r="N47" s="34"/>
      <c r="O47" s="1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2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32"/>
      <c r="K48" s="32"/>
      <c r="L48" s="2"/>
      <c r="M48" s="33"/>
      <c r="N48" s="34"/>
      <c r="O48" s="1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2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32"/>
      <c r="K49" s="32"/>
      <c r="L49" s="2"/>
      <c r="M49" s="33"/>
      <c r="N49" s="34"/>
      <c r="O49" s="1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2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32"/>
      <c r="K50" s="32"/>
      <c r="L50" s="2"/>
      <c r="M50" s="33"/>
      <c r="N50" s="34"/>
      <c r="O50" s="1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2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32"/>
      <c r="K51" s="32"/>
      <c r="L51" s="2"/>
      <c r="M51" s="33"/>
      <c r="N51" s="34"/>
      <c r="O51" s="1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2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32"/>
      <c r="K52" s="32"/>
      <c r="L52" s="2"/>
      <c r="M52" s="33"/>
      <c r="N52" s="34"/>
      <c r="O52" s="1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2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32"/>
      <c r="K53" s="32"/>
      <c r="L53" s="2"/>
      <c r="M53" s="33"/>
      <c r="N53" s="34"/>
      <c r="O53" s="1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2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32"/>
      <c r="K54" s="32"/>
      <c r="L54" s="2"/>
      <c r="M54" s="33"/>
      <c r="N54" s="34"/>
      <c r="O54" s="1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2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32"/>
      <c r="K55" s="32"/>
      <c r="L55" s="2"/>
      <c r="M55" s="33"/>
      <c r="N55" s="34"/>
      <c r="O55" s="1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2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32"/>
      <c r="K56" s="32"/>
      <c r="L56" s="2"/>
      <c r="M56" s="33"/>
      <c r="N56" s="34"/>
      <c r="O56" s="1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2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32"/>
      <c r="K57" s="32"/>
      <c r="L57" s="2"/>
      <c r="M57" s="33"/>
      <c r="N57" s="34"/>
      <c r="O57" s="1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2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32"/>
      <c r="K58" s="32"/>
      <c r="L58" s="2"/>
      <c r="M58" s="33"/>
      <c r="N58" s="34"/>
      <c r="O58" s="1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2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32"/>
      <c r="K59" s="32"/>
      <c r="L59" s="2"/>
      <c r="M59" s="33"/>
      <c r="N59" s="34"/>
      <c r="O59" s="1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2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32"/>
      <c r="K60" s="32"/>
      <c r="L60" s="2"/>
      <c r="M60" s="33"/>
      <c r="N60" s="34"/>
      <c r="O60" s="1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2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32"/>
      <c r="K61" s="32"/>
      <c r="L61" s="2"/>
      <c r="M61" s="33"/>
      <c r="N61" s="34"/>
      <c r="O61" s="1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2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32"/>
      <c r="K62" s="32"/>
      <c r="L62" s="2"/>
      <c r="M62" s="33"/>
      <c r="N62" s="34"/>
      <c r="O62" s="1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2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32"/>
      <c r="K63" s="32"/>
      <c r="L63" s="2"/>
      <c r="M63" s="33"/>
      <c r="N63" s="34"/>
      <c r="O63" s="1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2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32"/>
      <c r="K64" s="32"/>
      <c r="L64" s="2"/>
      <c r="M64" s="33"/>
      <c r="N64" s="34"/>
      <c r="O64" s="1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2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32"/>
      <c r="K65" s="32"/>
      <c r="L65" s="2"/>
      <c r="M65" s="33"/>
      <c r="N65" s="34"/>
      <c r="O65" s="1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2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32"/>
      <c r="K66" s="32"/>
      <c r="L66" s="2"/>
      <c r="M66" s="33"/>
      <c r="N66" s="34"/>
      <c r="O66" s="1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2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32"/>
      <c r="K67" s="32"/>
      <c r="L67" s="2"/>
      <c r="M67" s="33"/>
      <c r="N67" s="34"/>
      <c r="O67" s="1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2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32"/>
      <c r="K68" s="32"/>
      <c r="L68" s="2"/>
      <c r="M68" s="33"/>
      <c r="N68" s="34"/>
      <c r="O68" s="1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2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32"/>
      <c r="K69" s="32"/>
      <c r="L69" s="2"/>
      <c r="M69" s="33"/>
      <c r="N69" s="34"/>
      <c r="O69" s="1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2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32"/>
      <c r="K70" s="32"/>
      <c r="L70" s="2"/>
      <c r="M70" s="33"/>
      <c r="N70" s="34"/>
      <c r="O70" s="1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2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32"/>
      <c r="K71" s="32"/>
      <c r="L71" s="2"/>
      <c r="M71" s="33"/>
      <c r="N71" s="34"/>
      <c r="O71" s="1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2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32"/>
      <c r="K72" s="32"/>
      <c r="L72" s="2"/>
      <c r="M72" s="33"/>
      <c r="N72" s="34"/>
      <c r="O72" s="1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2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32"/>
      <c r="K73" s="32"/>
      <c r="L73" s="2"/>
      <c r="M73" s="33"/>
      <c r="N73" s="34"/>
      <c r="O73" s="1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2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32"/>
      <c r="K74" s="32"/>
      <c r="L74" s="2"/>
      <c r="M74" s="33"/>
      <c r="N74" s="34"/>
      <c r="O74" s="1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2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32"/>
      <c r="K75" s="32"/>
      <c r="L75" s="2"/>
      <c r="M75" s="33"/>
      <c r="N75" s="34"/>
      <c r="O75" s="1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2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32"/>
      <c r="K76" s="32"/>
      <c r="L76" s="2"/>
      <c r="M76" s="33"/>
      <c r="N76" s="34"/>
      <c r="O76" s="1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2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32"/>
      <c r="K77" s="32"/>
      <c r="L77" s="2"/>
      <c r="M77" s="33"/>
      <c r="N77" s="34"/>
      <c r="O77" s="1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2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32"/>
      <c r="K78" s="32"/>
      <c r="L78" s="2"/>
      <c r="M78" s="33"/>
      <c r="N78" s="34"/>
      <c r="O78" s="1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2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32"/>
      <c r="K79" s="32"/>
      <c r="L79" s="2"/>
      <c r="M79" s="33"/>
      <c r="N79" s="34"/>
      <c r="O79" s="1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2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32"/>
      <c r="K80" s="32"/>
      <c r="L80" s="2"/>
      <c r="M80" s="33"/>
      <c r="N80" s="34"/>
      <c r="O80" s="1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2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32"/>
      <c r="K81" s="32"/>
      <c r="L81" s="2"/>
      <c r="M81" s="33"/>
      <c r="N81" s="34"/>
      <c r="O81" s="1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2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32"/>
      <c r="K82" s="32"/>
      <c r="L82" s="2"/>
      <c r="M82" s="33"/>
      <c r="N82" s="34"/>
      <c r="O82" s="1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2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32"/>
      <c r="K83" s="32"/>
      <c r="L83" s="2"/>
      <c r="M83" s="33"/>
      <c r="N83" s="34"/>
      <c r="O83" s="1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2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32"/>
      <c r="K84" s="32"/>
      <c r="L84" s="2"/>
      <c r="M84" s="33"/>
      <c r="N84" s="34"/>
      <c r="O84" s="1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2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32"/>
      <c r="K85" s="32"/>
      <c r="L85" s="2"/>
      <c r="M85" s="33"/>
      <c r="N85" s="34"/>
      <c r="O85" s="1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2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32"/>
      <c r="K86" s="32"/>
      <c r="L86" s="2"/>
      <c r="M86" s="33"/>
      <c r="N86" s="34"/>
      <c r="O86" s="1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2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32"/>
      <c r="K87" s="32"/>
      <c r="L87" s="2"/>
      <c r="M87" s="33"/>
      <c r="N87" s="34"/>
      <c r="O87" s="1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2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32"/>
      <c r="K88" s="32"/>
      <c r="L88" s="2"/>
      <c r="M88" s="33"/>
      <c r="N88" s="34"/>
      <c r="O88" s="1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2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32"/>
      <c r="K89" s="32"/>
      <c r="L89" s="2"/>
      <c r="M89" s="33"/>
      <c r="N89" s="34"/>
      <c r="O89" s="1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2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32"/>
      <c r="K90" s="32"/>
      <c r="L90" s="2"/>
      <c r="M90" s="33"/>
      <c r="N90" s="34"/>
      <c r="O90" s="1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2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32"/>
      <c r="K91" s="32"/>
      <c r="L91" s="2"/>
      <c r="M91" s="33"/>
      <c r="N91" s="34"/>
      <c r="O91" s="1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2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32"/>
      <c r="K92" s="32"/>
      <c r="L92" s="2"/>
      <c r="M92" s="33"/>
      <c r="N92" s="34"/>
      <c r="O92" s="1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2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32"/>
      <c r="K93" s="32"/>
      <c r="L93" s="2"/>
      <c r="M93" s="33"/>
      <c r="N93" s="34"/>
      <c r="O93" s="1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2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32"/>
      <c r="K94" s="32"/>
      <c r="L94" s="2"/>
      <c r="M94" s="33"/>
      <c r="N94" s="34"/>
      <c r="O94" s="1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2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32"/>
      <c r="K95" s="32"/>
      <c r="L95" s="2"/>
      <c r="M95" s="33"/>
      <c r="N95" s="34"/>
      <c r="O95" s="1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2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32"/>
      <c r="K96" s="32"/>
      <c r="L96" s="2"/>
      <c r="M96" s="33"/>
      <c r="N96" s="34"/>
      <c r="O96" s="1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2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32"/>
      <c r="K97" s="32"/>
      <c r="L97" s="2"/>
      <c r="M97" s="33"/>
      <c r="N97" s="34"/>
      <c r="O97" s="1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2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32"/>
      <c r="K98" s="32"/>
      <c r="L98" s="2"/>
      <c r="M98" s="33"/>
      <c r="N98" s="34"/>
      <c r="O98" s="1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2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32"/>
      <c r="K99" s="32"/>
      <c r="L99" s="2"/>
      <c r="M99" s="33"/>
      <c r="N99" s="34"/>
      <c r="O99" s="1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2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32"/>
      <c r="K100" s="32"/>
      <c r="L100" s="2"/>
      <c r="M100" s="33"/>
      <c r="N100" s="34"/>
      <c r="O100" s="1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2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32"/>
      <c r="K101" s="32"/>
      <c r="L101" s="2"/>
      <c r="M101" s="33"/>
      <c r="N101" s="34"/>
      <c r="O101" s="1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2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32"/>
      <c r="K102" s="32"/>
      <c r="L102" s="2"/>
      <c r="M102" s="33"/>
      <c r="N102" s="34"/>
      <c r="O102" s="1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2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32"/>
      <c r="K103" s="32"/>
      <c r="L103" s="2"/>
      <c r="M103" s="33"/>
      <c r="N103" s="34"/>
      <c r="O103" s="1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2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32"/>
      <c r="K104" s="32"/>
      <c r="L104" s="2"/>
      <c r="M104" s="33"/>
      <c r="N104" s="34"/>
      <c r="O104" s="1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2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32"/>
      <c r="K105" s="32"/>
      <c r="L105" s="2"/>
      <c r="M105" s="33"/>
      <c r="N105" s="34"/>
      <c r="O105" s="1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2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32"/>
      <c r="K106" s="32"/>
      <c r="L106" s="2"/>
      <c r="M106" s="33"/>
      <c r="N106" s="34"/>
      <c r="O106" s="1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2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32"/>
      <c r="K107" s="32"/>
      <c r="L107" s="2"/>
      <c r="M107" s="33"/>
      <c r="N107" s="34"/>
      <c r="O107" s="1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2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32"/>
      <c r="K108" s="32"/>
      <c r="L108" s="2"/>
      <c r="M108" s="33"/>
      <c r="N108" s="34"/>
      <c r="O108" s="1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2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32"/>
      <c r="K109" s="32"/>
      <c r="L109" s="2"/>
      <c r="M109" s="33"/>
      <c r="N109" s="34"/>
      <c r="O109" s="1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2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32"/>
      <c r="K110" s="32"/>
      <c r="L110" s="2"/>
      <c r="M110" s="33"/>
      <c r="N110" s="34"/>
      <c r="O110" s="1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2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32"/>
      <c r="K111" s="32"/>
      <c r="L111" s="2"/>
      <c r="M111" s="33"/>
      <c r="N111" s="34"/>
      <c r="O111" s="1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2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32"/>
      <c r="K112" s="32"/>
      <c r="L112" s="2"/>
      <c r="M112" s="33"/>
      <c r="N112" s="34"/>
      <c r="O112" s="1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2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32"/>
      <c r="K113" s="32"/>
      <c r="L113" s="2"/>
      <c r="M113" s="33"/>
      <c r="N113" s="34"/>
      <c r="O113" s="1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2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32"/>
      <c r="K114" s="32"/>
      <c r="L114" s="2"/>
      <c r="M114" s="33"/>
      <c r="N114" s="34"/>
      <c r="O114" s="1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2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32"/>
      <c r="K115" s="32"/>
      <c r="L115" s="2"/>
      <c r="M115" s="33"/>
      <c r="N115" s="34"/>
      <c r="O115" s="1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2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32"/>
      <c r="K116" s="32"/>
      <c r="L116" s="2"/>
      <c r="M116" s="33"/>
      <c r="N116" s="34"/>
      <c r="O116" s="1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2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32"/>
      <c r="K117" s="32"/>
      <c r="L117" s="2"/>
      <c r="M117" s="33"/>
      <c r="N117" s="34"/>
      <c r="O117" s="1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2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32"/>
      <c r="K118" s="32"/>
      <c r="L118" s="2"/>
      <c r="M118" s="33"/>
      <c r="N118" s="34"/>
      <c r="O118" s="1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2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32"/>
      <c r="K119" s="32"/>
      <c r="L119" s="2"/>
      <c r="M119" s="33"/>
      <c r="N119" s="34"/>
      <c r="O119" s="1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2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32"/>
      <c r="K120" s="32"/>
      <c r="L120" s="2"/>
      <c r="M120" s="33"/>
      <c r="N120" s="34"/>
      <c r="O120" s="1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2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32"/>
      <c r="K121" s="32"/>
      <c r="L121" s="2"/>
      <c r="M121" s="33"/>
      <c r="N121" s="34"/>
      <c r="O121" s="1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2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32"/>
      <c r="K122" s="32"/>
      <c r="L122" s="2"/>
      <c r="M122" s="33"/>
      <c r="N122" s="34"/>
      <c r="O122" s="1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2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32"/>
      <c r="K123" s="32"/>
      <c r="L123" s="2"/>
      <c r="M123" s="33"/>
      <c r="N123" s="34"/>
      <c r="O123" s="1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2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32"/>
      <c r="K124" s="32"/>
      <c r="L124" s="2"/>
      <c r="M124" s="33"/>
      <c r="N124" s="34"/>
      <c r="O124" s="1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2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32"/>
      <c r="K125" s="32"/>
      <c r="L125" s="2"/>
      <c r="M125" s="33"/>
      <c r="N125" s="34"/>
      <c r="O125" s="1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2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32"/>
      <c r="K126" s="32"/>
      <c r="L126" s="2"/>
      <c r="M126" s="33"/>
      <c r="N126" s="34"/>
      <c r="O126" s="1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2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32"/>
      <c r="K127" s="32"/>
      <c r="L127" s="2"/>
      <c r="M127" s="33"/>
      <c r="N127" s="34"/>
      <c r="O127" s="1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2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32"/>
      <c r="K128" s="32"/>
      <c r="L128" s="2"/>
      <c r="M128" s="33"/>
      <c r="N128" s="34"/>
      <c r="O128" s="1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2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32"/>
      <c r="K129" s="32"/>
      <c r="L129" s="2"/>
      <c r="M129" s="33"/>
      <c r="N129" s="34"/>
      <c r="O129" s="1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2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32"/>
      <c r="K130" s="32"/>
      <c r="L130" s="2"/>
      <c r="M130" s="33"/>
      <c r="N130" s="34"/>
      <c r="O130" s="1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2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32"/>
      <c r="K131" s="32"/>
      <c r="L131" s="2"/>
      <c r="M131" s="33"/>
      <c r="N131" s="34"/>
      <c r="O131" s="1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2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32"/>
      <c r="K132" s="32"/>
      <c r="L132" s="2"/>
      <c r="M132" s="33"/>
      <c r="N132" s="34"/>
      <c r="O132" s="1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2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32"/>
      <c r="K133" s="32"/>
      <c r="L133" s="2"/>
      <c r="M133" s="33"/>
      <c r="N133" s="34"/>
      <c r="O133" s="1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2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32"/>
      <c r="K134" s="32"/>
      <c r="L134" s="2"/>
      <c r="M134" s="33"/>
      <c r="N134" s="34"/>
      <c r="O134" s="1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2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32"/>
      <c r="K135" s="32"/>
      <c r="L135" s="2"/>
      <c r="M135" s="33"/>
      <c r="N135" s="34"/>
      <c r="O135" s="1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2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32"/>
      <c r="K136" s="32"/>
      <c r="L136" s="2"/>
      <c r="M136" s="33"/>
      <c r="N136" s="34"/>
      <c r="O136" s="1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2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32"/>
      <c r="K137" s="32"/>
      <c r="L137" s="2"/>
      <c r="M137" s="33"/>
      <c r="N137" s="34"/>
      <c r="O137" s="1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2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32"/>
      <c r="K138" s="32"/>
      <c r="L138" s="2"/>
      <c r="M138" s="33"/>
      <c r="N138" s="34"/>
      <c r="O138" s="1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2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32"/>
      <c r="K139" s="32"/>
      <c r="L139" s="2"/>
      <c r="M139" s="33"/>
      <c r="N139" s="34"/>
      <c r="O139" s="1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2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32"/>
      <c r="K140" s="32"/>
      <c r="L140" s="2"/>
      <c r="M140" s="33"/>
      <c r="N140" s="34"/>
      <c r="O140" s="1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2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32"/>
      <c r="K141" s="32"/>
      <c r="L141" s="2"/>
      <c r="M141" s="33"/>
      <c r="N141" s="34"/>
      <c r="O141" s="1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2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32"/>
      <c r="K142" s="32"/>
      <c r="L142" s="2"/>
      <c r="M142" s="33"/>
      <c r="N142" s="34"/>
      <c r="O142" s="1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2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32"/>
      <c r="K143" s="32"/>
      <c r="L143" s="2"/>
      <c r="M143" s="33"/>
      <c r="N143" s="34"/>
      <c r="O143" s="1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2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32"/>
      <c r="K144" s="32"/>
      <c r="L144" s="2"/>
      <c r="M144" s="33"/>
      <c r="N144" s="34"/>
      <c r="O144" s="1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2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32"/>
      <c r="K145" s="32"/>
      <c r="L145" s="2"/>
      <c r="M145" s="33"/>
      <c r="N145" s="34"/>
      <c r="O145" s="1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2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32"/>
      <c r="K146" s="32"/>
      <c r="L146" s="2"/>
      <c r="M146" s="33"/>
      <c r="N146" s="34"/>
      <c r="O146" s="1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2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32"/>
      <c r="K147" s="32"/>
      <c r="L147" s="2"/>
      <c r="M147" s="33"/>
      <c r="N147" s="34"/>
      <c r="O147" s="1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2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32"/>
      <c r="K148" s="32"/>
      <c r="L148" s="2"/>
      <c r="M148" s="33"/>
      <c r="N148" s="34"/>
      <c r="O148" s="1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2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32"/>
      <c r="K149" s="32"/>
      <c r="L149" s="2"/>
      <c r="M149" s="33"/>
      <c r="N149" s="34"/>
      <c r="O149" s="1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2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32"/>
      <c r="K150" s="32"/>
      <c r="L150" s="2"/>
      <c r="M150" s="33"/>
      <c r="N150" s="34"/>
      <c r="O150" s="1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2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32"/>
      <c r="K151" s="32"/>
      <c r="L151" s="2"/>
      <c r="M151" s="33"/>
      <c r="N151" s="34"/>
      <c r="O151" s="1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2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32"/>
      <c r="K152" s="32"/>
      <c r="L152" s="2"/>
      <c r="M152" s="33"/>
      <c r="N152" s="34"/>
      <c r="O152" s="1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2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32"/>
      <c r="K153" s="32"/>
      <c r="L153" s="2"/>
      <c r="M153" s="33"/>
      <c r="N153" s="34"/>
      <c r="O153" s="1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2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32"/>
      <c r="K154" s="32"/>
      <c r="L154" s="2"/>
      <c r="M154" s="33"/>
      <c r="N154" s="34"/>
      <c r="O154" s="1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2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32"/>
      <c r="K155" s="32"/>
      <c r="L155" s="2"/>
      <c r="M155" s="33"/>
      <c r="N155" s="34"/>
      <c r="O155" s="1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2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32"/>
      <c r="K156" s="32"/>
      <c r="L156" s="2"/>
      <c r="M156" s="33"/>
      <c r="N156" s="34"/>
      <c r="O156" s="1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2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32"/>
      <c r="K157" s="32"/>
      <c r="L157" s="2"/>
      <c r="M157" s="33"/>
      <c r="N157" s="34"/>
      <c r="O157" s="1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2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32"/>
      <c r="K158" s="32"/>
      <c r="L158" s="2"/>
      <c r="M158" s="33"/>
      <c r="N158" s="34"/>
      <c r="O158" s="1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2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32"/>
      <c r="K159" s="32"/>
      <c r="L159" s="2"/>
      <c r="M159" s="33"/>
      <c r="N159" s="34"/>
      <c r="O159" s="1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2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32"/>
      <c r="K160" s="32"/>
      <c r="L160" s="2"/>
      <c r="M160" s="33"/>
      <c r="N160" s="34"/>
      <c r="O160" s="1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2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32"/>
      <c r="K161" s="32"/>
      <c r="L161" s="2"/>
      <c r="M161" s="33"/>
      <c r="N161" s="34"/>
      <c r="O161" s="1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2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32"/>
      <c r="K162" s="32"/>
      <c r="L162" s="2"/>
      <c r="M162" s="33"/>
      <c r="N162" s="34"/>
      <c r="O162" s="1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2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32"/>
      <c r="K163" s="32"/>
      <c r="L163" s="2"/>
      <c r="M163" s="33"/>
      <c r="N163" s="34"/>
      <c r="O163" s="1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2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32"/>
      <c r="K164" s="32"/>
      <c r="L164" s="2"/>
      <c r="M164" s="33"/>
      <c r="N164" s="34"/>
      <c r="O164" s="1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2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32"/>
      <c r="K165" s="32"/>
      <c r="L165" s="2"/>
      <c r="M165" s="33"/>
      <c r="N165" s="34"/>
      <c r="O165" s="1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2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32"/>
      <c r="K166" s="32"/>
      <c r="L166" s="2"/>
      <c r="M166" s="33"/>
      <c r="N166" s="34"/>
      <c r="O166" s="1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2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32"/>
      <c r="K167" s="32"/>
      <c r="L167" s="2"/>
      <c r="M167" s="33"/>
      <c r="N167" s="34"/>
      <c r="O167" s="1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2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32"/>
      <c r="K168" s="32"/>
      <c r="L168" s="2"/>
      <c r="M168" s="33"/>
      <c r="N168" s="34"/>
      <c r="O168" s="1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2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32"/>
      <c r="K169" s="32"/>
      <c r="L169" s="2"/>
      <c r="M169" s="33"/>
      <c r="N169" s="34"/>
      <c r="O169" s="1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2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32"/>
      <c r="K170" s="32"/>
      <c r="L170" s="2"/>
      <c r="M170" s="33"/>
      <c r="N170" s="34"/>
      <c r="O170" s="1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2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32"/>
      <c r="K171" s="32"/>
      <c r="L171" s="2"/>
      <c r="M171" s="33"/>
      <c r="N171" s="34"/>
      <c r="O171" s="1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2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32"/>
      <c r="K172" s="32"/>
      <c r="L172" s="2"/>
      <c r="M172" s="33"/>
      <c r="N172" s="34"/>
      <c r="O172" s="1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2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32"/>
      <c r="K173" s="32"/>
      <c r="L173" s="2"/>
      <c r="M173" s="33"/>
      <c r="N173" s="34"/>
      <c r="O173" s="1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2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32"/>
      <c r="K174" s="32"/>
      <c r="L174" s="2"/>
      <c r="M174" s="33"/>
      <c r="N174" s="34"/>
      <c r="O174" s="1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2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32"/>
      <c r="K175" s="32"/>
      <c r="L175" s="2"/>
      <c r="M175" s="33"/>
      <c r="N175" s="34"/>
      <c r="O175" s="1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2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32"/>
      <c r="K176" s="32"/>
      <c r="L176" s="2"/>
      <c r="M176" s="33"/>
      <c r="N176" s="34"/>
      <c r="O176" s="1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2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32"/>
      <c r="K177" s="32"/>
      <c r="L177" s="2"/>
      <c r="M177" s="33"/>
      <c r="N177" s="34"/>
      <c r="O177" s="1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2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32"/>
      <c r="K178" s="32"/>
      <c r="L178" s="2"/>
      <c r="M178" s="33"/>
      <c r="N178" s="34"/>
      <c r="O178" s="1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2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32"/>
      <c r="K179" s="32"/>
      <c r="L179" s="2"/>
      <c r="M179" s="33"/>
      <c r="N179" s="34"/>
      <c r="O179" s="1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2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32"/>
      <c r="K180" s="32"/>
      <c r="L180" s="2"/>
      <c r="M180" s="33"/>
      <c r="N180" s="34"/>
      <c r="O180" s="1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2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32"/>
      <c r="K181" s="32"/>
      <c r="L181" s="2"/>
      <c r="M181" s="33"/>
      <c r="N181" s="34"/>
      <c r="O181" s="1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2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32"/>
      <c r="K182" s="32"/>
      <c r="L182" s="2"/>
      <c r="M182" s="33"/>
      <c r="N182" s="34"/>
      <c r="O182" s="1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2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32"/>
      <c r="K183" s="32"/>
      <c r="L183" s="2"/>
      <c r="M183" s="33"/>
      <c r="N183" s="34"/>
      <c r="O183" s="1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2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32"/>
      <c r="K184" s="32"/>
      <c r="L184" s="2"/>
      <c r="M184" s="33"/>
      <c r="N184" s="34"/>
      <c r="O184" s="1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2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32"/>
      <c r="K185" s="32"/>
      <c r="L185" s="2"/>
      <c r="M185" s="33"/>
      <c r="N185" s="34"/>
      <c r="O185" s="1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2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32"/>
      <c r="K186" s="32"/>
      <c r="L186" s="2"/>
      <c r="M186" s="33"/>
      <c r="N186" s="34"/>
      <c r="O186" s="1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2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32"/>
      <c r="K187" s="32"/>
      <c r="L187" s="2"/>
      <c r="M187" s="33"/>
      <c r="N187" s="34"/>
      <c r="O187" s="1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2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32"/>
      <c r="K188" s="32"/>
      <c r="L188" s="2"/>
      <c r="M188" s="33"/>
      <c r="N188" s="34"/>
      <c r="O188" s="1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2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32"/>
      <c r="K189" s="32"/>
      <c r="L189" s="2"/>
      <c r="M189" s="33"/>
      <c r="N189" s="34"/>
      <c r="O189" s="1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2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32"/>
      <c r="K190" s="32"/>
      <c r="L190" s="2"/>
      <c r="M190" s="33"/>
      <c r="N190" s="34"/>
      <c r="O190" s="1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2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32"/>
      <c r="K191" s="32"/>
      <c r="L191" s="2"/>
      <c r="M191" s="33"/>
      <c r="N191" s="34"/>
      <c r="O191" s="1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2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32"/>
      <c r="K192" s="32"/>
      <c r="L192" s="2"/>
      <c r="M192" s="33"/>
      <c r="N192" s="34"/>
      <c r="O192" s="1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2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32"/>
      <c r="K193" s="32"/>
      <c r="L193" s="2"/>
      <c r="M193" s="33"/>
      <c r="N193" s="34"/>
      <c r="O193" s="1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2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32"/>
      <c r="K194" s="32"/>
      <c r="L194" s="2"/>
      <c r="M194" s="33"/>
      <c r="N194" s="34"/>
      <c r="O194" s="1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2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32"/>
      <c r="K195" s="32"/>
      <c r="L195" s="2"/>
      <c r="M195" s="33"/>
      <c r="N195" s="34"/>
      <c r="O195" s="1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2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32"/>
      <c r="K196" s="32"/>
      <c r="L196" s="2"/>
      <c r="M196" s="33"/>
      <c r="N196" s="34"/>
      <c r="O196" s="1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2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32"/>
      <c r="K197" s="32"/>
      <c r="L197" s="2"/>
      <c r="M197" s="33"/>
      <c r="N197" s="34"/>
      <c r="O197" s="1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2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32"/>
      <c r="K198" s="32"/>
      <c r="L198" s="2"/>
      <c r="M198" s="33"/>
      <c r="N198" s="34"/>
      <c r="O198" s="1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2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32"/>
      <c r="K199" s="32"/>
      <c r="L199" s="2"/>
      <c r="M199" s="33"/>
      <c r="N199" s="34"/>
      <c r="O199" s="1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2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32"/>
      <c r="K200" s="32"/>
      <c r="L200" s="2"/>
      <c r="M200" s="33"/>
      <c r="N200" s="34"/>
      <c r="O200" s="1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2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32"/>
      <c r="K201" s="32"/>
      <c r="L201" s="2"/>
      <c r="M201" s="33"/>
      <c r="N201" s="34"/>
      <c r="O201" s="1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2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32"/>
      <c r="K202" s="32"/>
      <c r="L202" s="2"/>
      <c r="M202" s="33"/>
      <c r="N202" s="34"/>
      <c r="O202" s="1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2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32"/>
      <c r="K203" s="32"/>
      <c r="L203" s="2"/>
      <c r="M203" s="33"/>
      <c r="N203" s="34"/>
      <c r="O203" s="1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2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32"/>
      <c r="K204" s="32"/>
      <c r="L204" s="2"/>
      <c r="M204" s="33"/>
      <c r="N204" s="34"/>
      <c r="O204" s="1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2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32"/>
      <c r="K205" s="32"/>
      <c r="L205" s="2"/>
      <c r="M205" s="33"/>
      <c r="N205" s="34"/>
      <c r="O205" s="1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2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32"/>
      <c r="K206" s="32"/>
      <c r="L206" s="2"/>
      <c r="M206" s="33"/>
      <c r="N206" s="34"/>
      <c r="O206" s="1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2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32"/>
      <c r="K207" s="32"/>
      <c r="L207" s="2"/>
      <c r="M207" s="33"/>
      <c r="N207" s="34"/>
      <c r="O207" s="1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2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32"/>
      <c r="K208" s="32"/>
      <c r="L208" s="2"/>
      <c r="M208" s="33"/>
      <c r="N208" s="34"/>
      <c r="O208" s="1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2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32"/>
      <c r="K209" s="32"/>
      <c r="L209" s="2"/>
      <c r="M209" s="33"/>
      <c r="N209" s="34"/>
      <c r="O209" s="1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2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32"/>
      <c r="K210" s="32"/>
      <c r="L210" s="2"/>
      <c r="M210" s="33"/>
      <c r="N210" s="34"/>
      <c r="O210" s="1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2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32"/>
      <c r="K211" s="32"/>
      <c r="L211" s="2"/>
      <c r="M211" s="33"/>
      <c r="N211" s="34"/>
      <c r="O211" s="1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2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32"/>
      <c r="K212" s="32"/>
      <c r="L212" s="2"/>
      <c r="M212" s="33"/>
      <c r="N212" s="34"/>
      <c r="O212" s="1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2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32"/>
      <c r="K213" s="32"/>
      <c r="L213" s="2"/>
      <c r="M213" s="33"/>
      <c r="N213" s="34"/>
      <c r="O213" s="1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2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32"/>
      <c r="K214" s="32"/>
      <c r="L214" s="2"/>
      <c r="M214" s="33"/>
      <c r="N214" s="34"/>
      <c r="O214" s="1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2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32"/>
      <c r="K215" s="32"/>
      <c r="L215" s="2"/>
      <c r="M215" s="33"/>
      <c r="N215" s="34"/>
      <c r="O215" s="1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2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32"/>
      <c r="K216" s="32"/>
      <c r="L216" s="2"/>
      <c r="M216" s="33"/>
      <c r="N216" s="34"/>
      <c r="O216" s="1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2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32"/>
      <c r="K217" s="32"/>
      <c r="L217" s="2"/>
      <c r="M217" s="33"/>
      <c r="N217" s="34"/>
      <c r="O217" s="1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2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32"/>
      <c r="K218" s="32"/>
      <c r="L218" s="2"/>
      <c r="M218" s="33"/>
      <c r="N218" s="34"/>
      <c r="O218" s="1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2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32"/>
      <c r="K219" s="32"/>
      <c r="L219" s="2"/>
      <c r="M219" s="33"/>
      <c r="N219" s="34"/>
      <c r="O219" s="1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2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32"/>
      <c r="K220" s="32"/>
      <c r="L220" s="2"/>
      <c r="M220" s="33"/>
      <c r="N220" s="34"/>
      <c r="O220" s="1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2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32"/>
      <c r="K221" s="32"/>
      <c r="L221" s="2"/>
      <c r="M221" s="33"/>
      <c r="N221" s="34"/>
      <c r="O221" s="1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2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32"/>
      <c r="K222" s="32"/>
      <c r="L222" s="2"/>
      <c r="M222" s="33"/>
      <c r="N222" s="34"/>
      <c r="O222" s="1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2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32"/>
      <c r="K223" s="32"/>
      <c r="L223" s="2"/>
      <c r="M223" s="33"/>
      <c r="N223" s="34"/>
      <c r="O223" s="1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2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32"/>
      <c r="K224" s="32"/>
      <c r="L224" s="2"/>
      <c r="M224" s="33"/>
      <c r="N224" s="34"/>
      <c r="O224" s="1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2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32"/>
      <c r="K225" s="32"/>
      <c r="L225" s="2"/>
      <c r="M225" s="33"/>
      <c r="N225" s="34"/>
      <c r="O225" s="1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2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32"/>
      <c r="K226" s="32"/>
      <c r="L226" s="2"/>
      <c r="M226" s="33"/>
      <c r="N226" s="34"/>
      <c r="O226" s="1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2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32"/>
      <c r="K227" s="32"/>
      <c r="L227" s="2"/>
      <c r="M227" s="33"/>
      <c r="N227" s="34"/>
      <c r="O227" s="1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2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33"/>
      <c r="N228" s="34"/>
      <c r="O228" s="1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2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33"/>
      <c r="N229" s="34"/>
      <c r="O229" s="1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2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33"/>
      <c r="N230" s="34"/>
      <c r="O230" s="1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2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33"/>
      <c r="N231" s="34"/>
      <c r="O231" s="1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2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33"/>
      <c r="N232" s="34"/>
      <c r="O232" s="1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2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33"/>
      <c r="N233" s="34"/>
      <c r="O233" s="1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2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33"/>
      <c r="N234" s="34"/>
      <c r="O234" s="1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2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33"/>
      <c r="N235" s="34"/>
      <c r="O235" s="1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2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33"/>
      <c r="N236" s="34"/>
      <c r="O236" s="1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2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33"/>
      <c r="N237" s="34"/>
      <c r="O237" s="1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2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1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2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1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2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1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2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1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2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1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2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1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2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1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2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1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2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1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2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1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2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1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2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1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2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1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2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1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2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1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2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1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2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1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2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1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2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1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2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1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2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1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2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1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2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1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2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1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2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1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2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1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2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1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2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1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2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1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2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1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2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1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2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1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2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1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2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1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2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1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2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1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2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1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2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1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2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1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2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1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2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1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2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1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2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1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2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1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2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1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2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1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2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1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2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1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2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1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2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1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2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1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2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1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2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1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2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1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2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1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2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1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2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1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2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1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2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1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2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1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2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1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2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1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2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1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2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1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2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1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2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1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2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1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2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1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2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1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2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1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2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1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2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1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2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1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2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1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2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1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2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1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2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1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2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1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2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1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2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1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2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1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2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1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2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1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2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1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2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1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2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1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2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1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2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1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2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1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2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1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2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1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2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1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2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1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2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1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2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1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2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1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2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1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2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1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2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1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2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1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2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1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2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1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2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1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2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1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2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1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2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1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2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1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2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1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2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1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2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1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2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1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2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1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2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1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2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1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2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1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2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1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2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1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2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1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2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1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2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1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2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1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2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1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2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1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2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1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2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1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2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1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2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1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2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1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2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1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2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1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2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1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2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1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2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1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2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1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2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1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2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1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2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1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2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1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2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1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2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1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2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1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2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1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2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1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2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1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2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1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2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1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2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1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2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1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2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1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2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1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2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1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2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1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2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1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2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1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2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1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2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1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2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1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2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1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2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1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2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1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2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1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2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1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2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1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2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1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2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1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2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1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2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1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2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1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2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1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2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1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2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1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2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1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2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1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2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1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2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1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2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1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2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1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2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1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2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1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2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1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2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1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2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1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2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1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2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1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2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1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2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1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2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1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2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1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2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1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2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1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2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1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2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1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2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1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2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1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2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1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2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1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2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1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2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1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2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1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2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1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2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1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2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1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2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1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2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1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2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1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2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1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2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1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2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1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2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1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2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1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2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1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2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1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2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1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2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1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2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1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2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1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2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1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2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1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2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1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2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1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2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1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2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1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2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1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2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1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2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1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2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1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2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1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2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1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2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1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2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1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2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1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2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1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2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1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2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1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2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1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2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1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2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1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2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1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2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1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2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1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2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1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2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1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2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1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2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1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2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1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2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1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2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1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2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1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2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1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2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1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2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1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2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1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2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1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2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1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2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1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2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1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2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1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2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1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2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1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2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1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2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1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2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1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2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1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2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1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2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1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2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1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2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1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2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1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2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1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2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1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2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1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2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1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2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1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2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1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2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1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2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1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2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1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2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1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2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1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2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1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2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1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2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1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2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1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2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1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2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1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2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1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2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1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2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1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2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1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2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1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2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1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2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1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2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1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2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1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2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1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2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1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2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1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2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1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2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1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2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1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2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1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2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1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2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1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2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1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2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1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2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1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2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1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2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1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2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1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2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1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2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1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2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1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2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1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2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1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2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1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2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1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2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1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2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1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2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1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2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1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2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1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2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1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2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1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2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1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2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1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2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1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2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1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2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1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2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1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2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1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2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1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2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1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2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1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2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1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2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1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2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1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2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1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2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1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2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1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2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1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2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1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2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1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2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1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2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1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2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1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2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1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2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1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2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1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2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1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2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1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2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1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2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1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2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1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2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1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2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1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2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1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2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1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2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1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2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1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2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1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2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1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2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1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2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1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2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1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2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1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2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1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2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1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2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1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2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1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2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1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2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1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2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1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2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1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2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1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2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1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2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1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2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1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2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1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2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1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2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1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2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1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2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1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2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1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2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1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2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1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2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1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2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1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2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1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2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1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2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1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2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1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2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1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2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1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2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1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2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1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2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1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2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1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2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1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2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1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2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1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2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1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2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1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2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1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2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1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2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1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2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1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2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1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2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1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2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1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2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1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2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1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2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1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2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1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2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1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2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1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2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1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2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1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2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1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2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1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2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1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2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1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2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1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2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1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2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1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2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1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2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1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2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1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2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1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2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1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2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1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2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1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2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1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2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1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2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1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2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1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2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1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2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1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2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1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2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1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2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1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2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1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2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1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2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1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2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1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2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1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2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1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2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1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2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1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2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1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2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1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2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1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2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1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2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1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2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1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2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1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2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1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2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1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2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1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2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1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2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1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2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1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2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1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2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1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2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1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2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1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2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1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2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1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2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1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2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1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2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1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2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1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2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1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2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1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2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1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2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1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2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1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2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1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2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1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2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1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2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1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2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1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2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1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2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1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2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1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2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1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2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1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2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1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2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1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2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1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2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1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2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1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2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1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2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1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2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1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2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1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2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1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2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1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2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1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2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1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2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1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2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1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2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1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2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1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2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1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2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1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2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1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2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1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2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1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2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1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2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1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2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1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2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1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2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1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2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1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2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1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2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1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2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1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2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1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2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1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2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1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2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1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2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1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2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1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2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1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2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1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2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1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2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1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2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1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2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1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2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1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2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1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2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1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2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1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2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1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2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1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2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1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2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1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2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1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2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1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2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1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2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1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2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1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2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1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2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1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2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1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2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1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2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1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2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1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2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1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2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1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2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1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2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1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2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1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2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1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2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1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2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1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2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1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2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1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2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1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2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1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2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1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2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1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2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1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2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1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2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1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2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1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2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1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2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1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2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1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2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1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2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1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2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1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2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1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2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1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2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1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2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1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2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1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2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1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2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1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2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1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2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1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2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1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2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1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2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1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2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1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2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1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2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1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2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1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2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1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2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1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2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1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2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1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2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1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2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1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2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1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2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1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2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1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2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1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2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1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2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1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2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1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2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1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2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1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2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1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2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1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2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1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2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1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2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1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2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1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2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1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2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1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2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1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2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1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2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1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2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1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2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1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2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1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2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1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2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1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2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1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2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1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2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1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2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1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2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1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2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1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2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1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2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1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2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1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2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1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2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1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2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1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2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1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2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1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2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1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2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1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2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1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2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1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2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1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2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1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2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1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2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1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2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1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2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1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2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1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2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1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2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1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2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1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2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1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2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1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2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1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2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1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2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1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2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1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2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1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2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1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2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1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2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1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2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1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2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1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2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1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2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1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2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1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2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1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2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1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2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1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2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1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2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1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2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1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2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1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2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1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2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1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2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1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2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1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2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1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2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1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2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1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2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1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2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1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2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1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2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1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2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1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2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1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2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1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2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1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2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1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2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1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2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1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2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1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2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1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2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1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2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1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2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1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2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1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2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1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2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1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2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1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2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1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2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1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2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1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2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1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2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1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2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1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2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1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2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1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2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1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2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1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2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1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2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1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2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1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2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1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2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1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2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1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2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1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2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1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2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1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2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1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2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1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2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1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2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1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2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1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2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1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2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1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2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1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2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1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2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1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2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1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2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1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2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1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2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1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2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1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2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1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2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1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2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1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2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1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2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1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2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1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2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1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2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1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2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1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2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1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2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1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2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1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2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1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2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1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2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1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2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1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2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1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2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1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2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1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2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1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2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1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2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1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2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1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2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1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2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1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2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1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2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1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2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1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2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1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2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1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2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1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2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1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2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1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4">
    <mergeCell ref="O22:O23"/>
    <mergeCell ref="A10:A11"/>
    <mergeCell ref="B10:B11"/>
    <mergeCell ref="A1:A3"/>
    <mergeCell ref="B1:N1"/>
    <mergeCell ref="B2:B3"/>
    <mergeCell ref="E2:F2"/>
    <mergeCell ref="G2:G3"/>
    <mergeCell ref="H2:H3"/>
    <mergeCell ref="I2:I3"/>
    <mergeCell ref="J2:K2"/>
    <mergeCell ref="L2:L3"/>
    <mergeCell ref="M2:M3"/>
    <mergeCell ref="N2:N3"/>
  </mergeCells>
  <pageMargins left="0.7" right="0.7" top="0.75" bottom="0.75" header="0" footer="0"/>
  <pageSetup paperSize="9" orientation="portrait"/>
  <ignoredErrors>
    <ignoredError sqref="N9 J1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Izzudin Al Ayyubi</cp:lastModifiedBy>
  <dcterms:modified xsi:type="dcterms:W3CDTF">2024-10-10T11:09:13Z</dcterms:modified>
</cp:coreProperties>
</file>